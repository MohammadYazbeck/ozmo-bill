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30ab86f07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28598644ef1e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12">
    <x:font>
      <x:sz val="11"/>
      <x:name val="Carlito"/>
    </x:font>
    <x:font>
      <x:sz val="11"/>
      <x:color rgb="FF5F5F5F"/>
      <x:name val="Arial"/>
    </x:font>
    <x:font>
      <x:b/>
      <x:sz val="28"/>
      <x:color rgb="FFFF5A0A"/>
      <x:name val="Arial"/>
    </x:font>
    <x:font>
      <x:b/>
      <x:sz val="12"/>
      <x:color rgb="FFFF5A0A"/>
      <x:name val="Arial"/>
    </x:font>
    <x:font>
      <x:b/>
      <x:sz val="11"/>
      <x:color rgb="FF5F5F5F"/>
      <x:name val="Arial"/>
    </x:font>
    <x:font>
      <x:b/>
      <x:sz val="10"/>
      <x:color rgb="FF5F5F5F"/>
      <x:name val="Arial"/>
    </x:font>
    <x:font>
      <x:b/>
      <x:sz val="10"/>
      <x:color rgb="FF17427A"/>
      <x:name val="Arial"/>
    </x:font>
    <x:font>
      <x:sz val="10"/>
      <x:color rgb="FF5F5F5F"/>
      <x:name val="Arial"/>
    </x:font>
    <x:font>
      <x:b/>
      <x:sz val="11"/>
      <x:color rgb="FF000000"/>
      <x:name val="Arial"/>
    </x:font>
    <x:font>
      <x:b/>
      <x:sz val="24"/>
      <x:color rgb="FF27852B"/>
      <x:name val="Arial"/>
    </x:font>
    <x:font>
      <x:b/>
      <x:sz val="9"/>
      <x:color rgb="FF000000"/>
      <x:name val="Arial"/>
    </x:font>
    <x:font>
      <x:b/>
      <x:sz val="10"/>
      <x:color rgb="FFFF5A0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8E8"/>
      </x:patternFill>
    </x:fill>
  </x:fills>
  <x:borders count="10">
    <x:border/>
    <x:border>
      <x:left style="medium">
        <x:color rgb="FFA7A7A7"/>
      </x:left>
      <x:top style="medium">
        <x:color rgb="FFA7A7A7"/>
      </x:top>
    </x:border>
    <x:border>
      <x:top style="medium">
        <x:color rgb="FFA7A7A7"/>
      </x:top>
    </x:border>
    <x:border>
      <x:right style="medium">
        <x:color rgb="FFA7A7A7"/>
      </x:right>
      <x:top style="medium">
        <x:color rgb="FFA7A7A7"/>
      </x:top>
    </x:border>
    <x:border>
      <x:left style="medium">
        <x:color rgb="FFA7A7A7"/>
      </x:left>
    </x:border>
    <x:border>
      <x:right style="medium">
        <x:color rgb="FFA7A7A7"/>
      </x:right>
    </x:border>
    <x:border>
      <x:left style="medium">
        <x:color rgb="FFA7A7A7"/>
      </x:left>
      <x:bottom style="medium">
        <x:color rgb="FFA7A7A7"/>
      </x:bottom>
    </x:border>
    <x:border>
      <x:bottom style="medium">
        <x:color rgb="FFA7A7A7"/>
      </x:bottom>
    </x:border>
    <x:border>
      <x:right style="medium">
        <x:color rgb="FFA7A7A7"/>
      </x:right>
      <x:bottom style="medium">
        <x:color rgb="FFA7A7A7"/>
      </x:bottom>
    </x:border>
    <x:border>
      <x:left style="thin">
        <x:color rgb="FF8B8B8B"/>
      </x:left>
      <x:right style="thin">
        <x:color rgb="FF8B8B8B"/>
      </x:right>
      <x:top style="thin">
        <x:color rgb="FF8B8B8B"/>
      </x:top>
      <x:bottom style="thin">
        <x:color rgb="FF8B8B8B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bottom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left" vertical="center"/>
    </x:xf>
    <x:xf numFmtId="0" fontId="5" fillId="2" borderId="5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5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horizontal="left" vertical="center"/>
    </x:xf>
    <x:xf numFmtId="0" fontId="7" fillId="2" borderId="9" xfId="0" applyNumberFormat="1" applyFont="1" applyFill="1" applyBorder="1" applyAlignment="1">
      <x:alignment horizontal="right" vertical="center"/>
    </x:xf>
    <x:xf numFmtId="200" fontId="7" fillId="2" borderId="9" xfId="0" applyNumberFormat="1" applyFont="1" applyFill="1" applyBorder="1" applyAlignment="1">
      <x:alignment horizontal="right" vertical="center"/>
    </x:xf>
    <x:xf numFmtId="201" fontId="7" fillId="2" borderId="9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5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201" fontId="8" fillId="2" borderId="5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5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1" fontId="9" fillId="2" borderId="5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horizontal="right" vertical="center"/>
    </x:xf>
    <x:xf numFmtId="201" fontId="9" fillId="2" borderId="5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5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2" borderId="5" xfId="0" applyNumberFormat="1" applyFont="1" applyFill="1" applyBorder="1" applyAlignment="1">
      <x:alignment horizontal="left"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5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1" fillId="2" borderId="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31252d30f440a" /><Relationship Type="http://schemas.openxmlformats.org/officeDocument/2006/relationships/theme" Target="/xl/theme/theme1.xml" Id="R3dcf8d2690274a2f" /><Relationship Type="http://schemas.openxmlformats.org/officeDocument/2006/relationships/sharedStrings" Target="/xl/sharedStrings.xml" Id="Raf9b13d44cd74252" /><Relationship Type="http://schemas.openxmlformats.org/officeDocument/2006/relationships/worksheet" Target="/xl/worksheets/sheet1.xml" Id="R28598644ef1e4c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640086b9dc640ef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2</xdr:row>
      <xdr:rowOff>0</xdr:rowOff>
    </xdr:from>
    <xdr:ext cx="1066800" cy="1066800"/>
    <xdr:pic>
      <xdr:nvPicPr>
        <xdr:cNvPr id="1" name="d59d179f-4d08-4c31-a7fd-c3c47573b4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0086b9dc6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a37c269ff64d0e" /></Relationships>
</file>

<file path=xl/worksheets/sheet1.xml><?xml version="1.0" encoding="utf-8"?>
<x:worksheet xmlns:x="http://schemas.openxmlformats.org/spreadsheetml/2006/main">
  <x:sheetPr>
    <x:tabColor rgb="FFFF5A0A"/>
  </x:sheetPr>
  <x:sheetViews>
    <x:sheetView showGridLines="0" workbookViewId="0"/>
  </x:sheetViews>
  <x:sheetFormatPr defaultRowHeight="15"/>
  <x:cols>
    <x:col min="1" max="1" width="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8" hidden="0" customWidth="1"/>
    <x:col min="10" max="10" width="8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4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6"/>
    </x:row>
    <x:row r="3" ht="22" customHeight="1">
      <x:c r="A3" s="7"/>
      <x:c r="B3" s="14" t="str">
        <x:v>Nouri Basha St.
Damascus, Syria
+963 982 475 910</x:v>
      </x:c>
      <x:c r="C3" s="14"/>
      <x:c r="D3" s="14"/>
      <x:c r="E3" s="14"/>
      <x:c r="F3" s="3"/>
      <x:c r="G3" s="3"/>
      <x:c r="H3" s="3"/>
      <x:c r="I3" s="3"/>
      <x:c r="J3" s="3"/>
      <x:c r="K3" s="3"/>
      <x:c r="L3" s="3"/>
      <x:c r="M3" s="3"/>
      <x:c r="N3" s="8"/>
    </x:row>
    <x:row r="4" ht="22" customHeight="1">
      <x:c r="A4" s="7"/>
      <x:c r="B4" s="14"/>
      <x:c r="C4" s="14"/>
      <x:c r="D4" s="14"/>
      <x:c r="E4" s="14"/>
      <x:c r="F4" s="3"/>
      <x:c r="G4" s="3"/>
      <x:c r="H4" s="3"/>
      <x:c r="I4" s="3"/>
      <x:c r="J4" s="3"/>
      <x:c r="K4" s="3"/>
      <x:c r="L4" s="3"/>
      <x:c r="M4" s="3"/>
      <x:c r="N4" s="8"/>
    </x:row>
    <x:row r="5" ht="22" customHeight="1">
      <x:c r="A5" s="7"/>
      <x:c r="B5" s="14"/>
      <x:c r="C5" s="14"/>
      <x:c r="D5" s="14"/>
      <x:c r="E5" s="14"/>
      <x:c r="F5" s="3"/>
      <x:c r="G5" s="3"/>
      <x:c r="H5" s="3"/>
      <x:c r="I5" s="3"/>
      <x:c r="J5" s="3"/>
      <x:c r="K5" s="3"/>
      <x:c r="L5" s="3"/>
      <x:c r="M5" s="3"/>
      <x:c r="N5" s="8"/>
    </x:row>
    <x:row r="6" ht="22" customHeight="1">
      <x:c r="A6" s="7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8"/>
    </x:row>
    <x:row r="7" ht="22" customHeight="1">
      <x:c r="A7" s="7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8"/>
    </x:row>
    <x:row r="8" ht="22" customHeight="1">
      <x:c r="A8" s="7"/>
      <x:c r="B8" s="17" t="str">
        <x:v>Invoice</x:v>
      </x:c>
      <x:c r="C8" s="17"/>
      <x:c r="D8" s="17"/>
      <x:c r="E8" s="17"/>
      <x:c r="F8" s="17"/>
      <x:c r="G8" s="17"/>
      <x:c r="H8" s="3"/>
      <x:c r="I8" s="3"/>
      <x:c r="J8" s="3"/>
      <x:c r="K8" s="3"/>
      <x:c r="L8" s="3"/>
      <x:c r="M8" s="3"/>
      <x:c r="N8" s="8"/>
    </x:row>
    <x:row r="9" ht="22" customHeight="1">
      <x:c r="A9" s="7"/>
      <x:c r="B9" s="17"/>
      <x:c r="C9" s="17"/>
      <x:c r="D9" s="17"/>
      <x:c r="E9" s="17"/>
      <x:c r="F9" s="17"/>
      <x:c r="G9" s="17"/>
      <x:c r="H9" s="3"/>
      <x:c r="I9" s="3"/>
      <x:c r="J9" s="3"/>
      <x:c r="K9" s="3"/>
      <x:c r="L9" s="3"/>
      <x:c r="M9" s="3"/>
      <x:c r="N9" s="8"/>
    </x:row>
    <x:row r="10" ht="22" customHeight="1">
      <x:c r="A10" s="7"/>
      <x:c r="B10" s="19" t="str">
        <x:v>Submitted on 17/08/2026</x:v>
      </x:c>
      <x:c r="C10" s="19"/>
      <x:c r="D10" s="19"/>
      <x:c r="E10" s="19"/>
      <x:c r="F10" s="19"/>
      <x:c r="G10" s="19"/>
      <x:c r="H10" s="3"/>
      <x:c r="I10" s="3"/>
      <x:c r="J10" s="3"/>
      <x:c r="K10" s="3"/>
      <x:c r="L10" s="3"/>
      <x:c r="M10" s="3"/>
      <x:c r="N10" s="8"/>
    </x:row>
    <x:row r="11" ht="22" customHeight="1">
      <x:c r="A11" s="7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8"/>
    </x:row>
    <x:row r="12" ht="22" customHeight="1">
      <x:c r="A12" s="7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8"/>
    </x:row>
    <x:row r="13" ht="22" customHeight="1">
      <x:c r="A13" s="7"/>
      <x:c r="B13" s="21" t="str">
        <x:v>Invoice for</x:v>
      </x:c>
      <x:c r="C13" s="21"/>
      <x:c r="D13" s="21"/>
      <x:c r="E13" s="21"/>
      <x:c r="F13" s="3"/>
      <x:c r="G13" s="3"/>
      <x:c r="H13" s="3"/>
      <x:c r="I13" s="21" t="str">
        <x:v>Payable to</x:v>
      </x:c>
      <x:c r="J13" s="21"/>
      <x:c r="K13" s="3"/>
      <x:c r="L13" s="21" t="str">
        <x:v>Invoice #</x:v>
      </x:c>
      <x:c r="M13" s="21"/>
      <x:c r="N13" s="25"/>
    </x:row>
    <x:row r="14" ht="22" customHeight="1">
      <x:c r="A14" s="7"/>
      <x:c r="B14" s="23" t="str">
        <x:v>Columbus</x:v>
      </x:c>
      <x:c r="C14" s="23"/>
      <x:c r="D14" s="23"/>
      <x:c r="E14" s="23"/>
      <x:c r="F14" s="3"/>
      <x:c r="G14" s="3"/>
      <x:c r="H14" s="3"/>
      <x:c r="I14" s="23" t="str">
        <x:v>OZMO</x:v>
      </x:c>
      <x:c r="J14" s="23"/>
      <x:c r="K14" s="3"/>
      <x:c r="L14" s="23" t="str">
        <x:v>OZ-202608-1LE7P</x:v>
      </x:c>
      <x:c r="M14" s="23"/>
      <x:c r="N14" s="27"/>
    </x:row>
    <x:row r="15" ht="22" customHeight="1">
      <x:c r="A15" s="7"/>
      <x:c r="B15" s="23"/>
      <x:c r="C15" s="23"/>
      <x:c r="D15" s="23"/>
      <x:c r="E15" s="23"/>
      <x:c r="F15" s="3"/>
      <x:c r="G15" s="3"/>
      <x:c r="H15" s="3"/>
      <x:c r="I15" s="23"/>
      <x:c r="J15" s="23"/>
      <x:c r="K15" s="3"/>
      <x:c r="L15" s="23"/>
      <x:c r="M15" s="23"/>
      <x:c r="N15" s="27"/>
    </x:row>
    <x:row r="16" ht="22" customHeight="1">
      <x:c r="A16" s="7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8"/>
    </x:row>
    <x:row r="17" ht="22" customHeight="1">
      <x:c r="A17" s="7"/>
      <x:c r="B17" s="3"/>
      <x:c r="C17" s="3"/>
      <x:c r="D17" s="3"/>
      <x:c r="E17" s="3"/>
      <x:c r="F17" s="3"/>
      <x:c r="G17" s="3"/>
      <x:c r="H17" s="3"/>
      <x:c r="I17" s="21" t="str">
        <x:v>Project</x:v>
      </x:c>
      <x:c r="J17" s="21"/>
      <x:c r="K17" s="3"/>
      <x:c r="L17" s="21" t="str">
        <x:v>Due date</x:v>
      </x:c>
      <x:c r="M17" s="21"/>
      <x:c r="N17" s="25"/>
    </x:row>
    <x:row r="18" ht="22" customHeight="1">
      <x:c r="A18" s="7"/>
      <x:c r="B18" s="3"/>
      <x:c r="C18" s="3"/>
      <x:c r="D18" s="3"/>
      <x:c r="E18" s="3"/>
      <x:c r="F18" s="3"/>
      <x:c r="G18" s="3"/>
      <x:c r="H18" s="3"/>
      <x:c r="I18" s="23" t="str">
        <x:v>Social Media</x:v>
      </x:c>
      <x:c r="J18" s="23"/>
      <x:c r="K18" s="3"/>
      <x:c r="L18" s="23" t="str">
        <x:v>15/08/2026</x:v>
      </x:c>
      <x:c r="M18" s="23"/>
      <x:c r="N18" s="27"/>
    </x:row>
    <x:row r="19" ht="22" customHeight="1">
      <x:c r="A19" s="7"/>
      <x:c r="B19" s="3"/>
      <x:c r="C19" s="3"/>
      <x:c r="D19" s="3"/>
      <x:c r="E19" s="3"/>
      <x:c r="F19" s="3"/>
      <x:c r="G19" s="3"/>
      <x:c r="H19" s="3"/>
      <x:c r="I19" s="23"/>
      <x:c r="J19" s="23"/>
      <x:c r="K19" s="3"/>
      <x:c r="L19" s="23"/>
      <x:c r="M19" s="23"/>
      <x:c r="N19" s="27"/>
    </x:row>
    <x:row r="20" ht="22" customHeight="1">
      <x:c r="A20" s="7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8"/>
    </x:row>
    <x:row r="21" ht="22" customHeight="1">
      <x:c r="A21" s="7"/>
      <x:c r="B21" s="30" t="str">
        <x:v>Description</x:v>
      </x:c>
      <x:c r="C21" s="30"/>
      <x:c r="D21" s="30"/>
      <x:c r="E21" s="30"/>
      <x:c r="F21" s="30"/>
      <x:c r="G21" s="30"/>
      <x:c r="H21" s="30"/>
      <x:c r="I21" s="30" t="str">
        <x:v>Qty</x:v>
      </x:c>
      <x:c r="J21" s="30"/>
      <x:c r="K21" s="30" t="str">
        <x:v>Unit price</x:v>
      </x:c>
      <x:c r="L21" s="30"/>
      <x:c r="M21" s="30" t="str">
        <x:v>Total price</x:v>
      </x:c>
      <x:c r="N21" s="31"/>
    </x:row>
    <x:row r="22" ht="22" customHeight="1">
      <x:c r="A22" s="7"/>
      <x:c r="B22" s="35" t="str">
        <x:v>Social Media monthly subscription (2026-07) - remaining</x:v>
      </x:c>
      <x:c r="C22" s="35"/>
      <x:c r="D22" s="35"/>
      <x:c r="E22" s="35"/>
      <x:c r="F22" s="35"/>
      <x:c r="G22" s="35"/>
      <x:c r="H22" s="35"/>
      <x:c r="I22" s="37" t="n">
        <x:v>1</x:v>
      </x:c>
      <x:c r="J22" s="37"/>
      <x:c r="K22" s="38" t="n">
        <x:v>50</x:v>
      </x:c>
      <x:c r="L22" s="38"/>
      <x:c r="M22" s="38" t="n">
        <x:f>IF(OR(I22="",K22=""),"",I22*K22)</x:f>
        <x:v>50</x:v>
      </x:c>
      <x:c r="N22" s="38"/>
    </x:row>
    <x:row r="23" ht="22" customHeight="1">
      <x:c r="A23" s="7"/>
      <x:c r="B23" s="35" t="str">
        <x:v>Social Media monthly subscription (2026-08)</x:v>
      </x:c>
      <x:c r="C23" s="35"/>
      <x:c r="D23" s="35"/>
      <x:c r="E23" s="35"/>
      <x:c r="F23" s="35"/>
      <x:c r="G23" s="35"/>
      <x:c r="H23" s="35"/>
      <x:c r="I23" s="37" t="n">
        <x:v>1</x:v>
      </x:c>
      <x:c r="J23" s="37"/>
      <x:c r="K23" s="38" t="n">
        <x:v>350</x:v>
      </x:c>
      <x:c r="L23" s="38"/>
      <x:c r="M23" s="38" t="n">
        <x:f>IF(OR(I23="",K23=""),"",I23*K23)</x:f>
        <x:v>350</x:v>
      </x:c>
      <x:c r="N23" s="38"/>
    </x:row>
    <x:row r="24" ht="22" customHeight="1">
      <x:c r="A24" s="7"/>
      <x:c r="B24" s="35" t="str">
        <x:v>جلسات تصوير شهر ٥ و ٦</x:v>
      </x:c>
      <x:c r="C24" s="35"/>
      <x:c r="D24" s="35"/>
      <x:c r="E24" s="35"/>
      <x:c r="F24" s="35"/>
      <x:c r="G24" s="35"/>
      <x:c r="H24" s="35"/>
      <x:c r="I24" s="37" t="n">
        <x:v>1</x:v>
      </x:c>
      <x:c r="J24" s="37"/>
      <x:c r="K24" s="38" t="n">
        <x:v>130</x:v>
      </x:c>
      <x:c r="L24" s="38"/>
      <x:c r="M24" s="38" t="n">
        <x:f>IF(OR(I24="",K24=""),"",I24*K24)</x:f>
        <x:v>130</x:v>
      </x:c>
      <x:c r="N24" s="38"/>
    </x:row>
    <x:row r="25" ht="22" customHeight="1">
      <x:c r="A25" s="7"/>
      <x:c r="B25" s="35" t="str">
        <x:v>جلسة تصوير شهر ٧</x:v>
      </x:c>
      <x:c r="C25" s="35"/>
      <x:c r="D25" s="35"/>
      <x:c r="E25" s="35"/>
      <x:c r="F25" s="35"/>
      <x:c r="G25" s="35"/>
      <x:c r="H25" s="35"/>
      <x:c r="I25" s="37" t="n">
        <x:v>1</x:v>
      </x:c>
      <x:c r="J25" s="37"/>
      <x:c r="K25" s="38" t="n">
        <x:v>60</x:v>
      </x:c>
      <x:c r="L25" s="38"/>
      <x:c r="M25" s="38" t="n">
        <x:f>IF(OR(I25="",K25=""),"",I25*K25)</x:f>
        <x:v>60</x:v>
      </x:c>
      <x:c r="N25" s="38"/>
    </x:row>
    <x:row r="26" ht="22" customHeight="1">
      <x:c r="A26" s="7"/>
      <x:c r="B26" s="35" t="str"/>
      <x:c r="C26" s="35"/>
      <x:c r="D26" s="35"/>
      <x:c r="E26" s="35"/>
      <x:c r="F26" s="35"/>
      <x:c r="G26" s="35"/>
      <x:c r="H26" s="35"/>
      <x:c r="I26" s="37"/>
      <x:c r="J26" s="37"/>
      <x:c r="K26" s="38"/>
      <x:c r="L26" s="38"/>
      <x:c r="M26" s="38" t="str">
        <x:f>IF(OR(I26="",K26=""),"",I26*K26)</x:f>
      </x:c>
      <x:c r="N26" s="38"/>
    </x:row>
    <x:row r="27" ht="22" customHeight="1">
      <x:c r="A27" s="7"/>
      <x:c r="B27" s="35" t="str"/>
      <x:c r="C27" s="35"/>
      <x:c r="D27" s="35"/>
      <x:c r="E27" s="35"/>
      <x:c r="F27" s="35"/>
      <x:c r="G27" s="35"/>
      <x:c r="H27" s="35"/>
      <x:c r="I27" s="37"/>
      <x:c r="J27" s="37"/>
      <x:c r="K27" s="38"/>
      <x:c r="L27" s="38"/>
      <x:c r="M27" s="38" t="str">
        <x:f>IF(OR(I27="",K27=""),"",I27*K27)</x:f>
      </x:c>
      <x:c r="N27" s="38"/>
    </x:row>
    <x:row r="28" ht="22" customHeight="1">
      <x:c r="A28" s="7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8"/>
    </x:row>
    <x:row r="29" ht="22" customHeight="1">
      <x:c r="A29" s="7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8"/>
    </x:row>
    <x:row r="30" ht="22" customHeight="1">
      <x:c r="A30" s="7"/>
      <x:c r="B30" s="21" t="str">
        <x:v>Notes:</x:v>
      </x:c>
      <x:c r="C30" s="21"/>
      <x:c r="D30" s="21"/>
      <x:c r="E30" s="21"/>
      <x:c r="F30" s="21"/>
      <x:c r="G30" s="21"/>
      <x:c r="H30" s="21"/>
      <x:c r="I30" s="3"/>
      <x:c r="J30" s="21" t="str">
        <x:v>Total due</x:v>
      </x:c>
      <x:c r="K30" s="21"/>
      <x:c r="L30" s="21"/>
      <x:c r="M30" s="45" t="n">
        <x:f>SUM(M22:M27)</x:f>
        <x:v>590</x:v>
      </x:c>
      <x:c r="N30" s="46"/>
    </x:row>
    <x:row r="31" ht="22" customHeight="1">
      <x:c r="A31" s="7"/>
      <x:c r="B31" s="40" t="str">
        <x:v>سيتم إرسال فاتورة ميتا بشكل منفصل</x:v>
      </x:c>
      <x:c r="C31" s="40"/>
      <x:c r="D31" s="40"/>
      <x:c r="E31" s="40"/>
      <x:c r="F31" s="40"/>
      <x:c r="G31" s="40"/>
      <x:c r="H31" s="40"/>
      <x:c r="I31" s="3"/>
      <x:c r="J31" s="3"/>
      <x:c r="K31" s="3"/>
      <x:c r="L31" s="3"/>
      <x:c r="M31" s="3"/>
      <x:c r="N31" s="8"/>
    </x:row>
    <x:row r="32" ht="22" customHeight="1">
      <x:c r="A32" s="7"/>
      <x:c r="B32" s="40"/>
      <x:c r="C32" s="40"/>
      <x:c r="D32" s="40"/>
      <x:c r="E32" s="40"/>
      <x:c r="F32" s="40"/>
      <x:c r="G32" s="40"/>
      <x:c r="H32" s="40"/>
      <x:c r="I32" s="3"/>
      <x:c r="J32" s="3"/>
      <x:c r="K32" s="51" t="n">
        <x:f>M30</x:f>
        <x:v>590</x:v>
      </x:c>
      <x:c r="L32" s="51"/>
      <x:c r="M32" s="51"/>
      <x:c r="N32" s="52"/>
    </x:row>
    <x:row r="33" ht="22" customHeight="1">
      <x:c r="A33" s="7"/>
      <x:c r="B33" s="40"/>
      <x:c r="C33" s="40"/>
      <x:c r="D33" s="40"/>
      <x:c r="E33" s="40"/>
      <x:c r="F33" s="40"/>
      <x:c r="G33" s="40"/>
      <x:c r="H33" s="40"/>
      <x:c r="I33" s="3"/>
      <x:c r="J33" s="3"/>
      <x:c r="K33" s="51"/>
      <x:c r="L33" s="51"/>
      <x:c r="M33" s="51"/>
      <x:c r="N33" s="52"/>
    </x:row>
    <x:row r="34" ht="22" customHeight="1">
      <x:c r="A34" s="7"/>
      <x:c r="B34" s="40"/>
      <x:c r="C34" s="40"/>
      <x:c r="D34" s="40"/>
      <x:c r="E34" s="40"/>
      <x:c r="F34" s="40"/>
      <x:c r="G34" s="40"/>
      <x:c r="H34" s="40"/>
      <x:c r="I34" s="3"/>
      <x:c r="J34" s="3"/>
      <x:c r="K34" s="51"/>
      <x:c r="L34" s="51"/>
      <x:c r="M34" s="51"/>
      <x:c r="N34" s="52"/>
    </x:row>
    <x:row r="35" ht="22" customHeight="1">
      <x:c r="A35" s="7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8"/>
    </x:row>
    <x:row r="36" ht="22" customHeight="1">
      <x:c r="A36" s="7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8"/>
    </x:row>
    <x:row r="37" ht="22" customHeight="1">
      <x:c r="A37" s="7"/>
      <x:c r="B37" s="55" t="str">
        <x:v>If you have any questions concerning this invoice, use the following contact information:</x:v>
      </x:c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6"/>
    </x:row>
    <x:row r="38" ht="22" customHeight="1">
      <x:c r="A38" s="7"/>
      <x:c r="B38" s="59" t="str">
        <x:v>OZMO AGENCY, +963 982 475 910</x:v>
      </x:c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60"/>
    </x:row>
    <x:row r="39" ht="22" customHeight="1">
      <x:c r="A39" s="9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1"/>
    </x:row>
    <x:row r="40" ht="1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</x:sheetData>
  <x:mergeCells>
    <x:mergeCell ref="B3:E5"/>
    <x:mergeCell ref="B8:G9"/>
    <x:mergeCell ref="B10:G10"/>
    <x:mergeCell ref="B13:E13"/>
    <x:mergeCell ref="B14:E15"/>
    <x:mergeCell ref="I13:J13"/>
    <x:mergeCell ref="I14:J15"/>
    <x:mergeCell ref="L13:N13"/>
    <x:mergeCell ref="L14:N15"/>
    <x:mergeCell ref="I17:J17"/>
    <x:mergeCell ref="I18:J19"/>
    <x:mergeCell ref="L17:N17"/>
    <x:mergeCell ref="L18:N19"/>
    <x:mergeCell ref="B21:H21"/>
    <x:mergeCell ref="I21:J21"/>
    <x:mergeCell ref="K21:L21"/>
    <x:mergeCell ref="M21:N21"/>
    <x:mergeCell ref="B22:H22"/>
    <x:mergeCell ref="I22:J22"/>
    <x:mergeCell ref="K22:L22"/>
    <x:mergeCell ref="M22:N22"/>
    <x:mergeCell ref="B23:H23"/>
    <x:mergeCell ref="I23:J23"/>
    <x:mergeCell ref="K23:L23"/>
    <x:mergeCell ref="M23:N23"/>
    <x:mergeCell ref="B24:H24"/>
    <x:mergeCell ref="I24:J24"/>
    <x:mergeCell ref="K24:L24"/>
    <x:mergeCell ref="M24:N24"/>
    <x:mergeCell ref="B25:H25"/>
    <x:mergeCell ref="I25:J25"/>
    <x:mergeCell ref="K25:L25"/>
    <x:mergeCell ref="M25:N25"/>
    <x:mergeCell ref="B26:H26"/>
    <x:mergeCell ref="I26:J26"/>
    <x:mergeCell ref="K26:L26"/>
    <x:mergeCell ref="M26:N26"/>
    <x:mergeCell ref="B27:H27"/>
    <x:mergeCell ref="I27:J27"/>
    <x:mergeCell ref="K27:L27"/>
    <x:mergeCell ref="M27:N27"/>
    <x:mergeCell ref="B30:H30"/>
    <x:mergeCell ref="B31:H34"/>
    <x:mergeCell ref="J30:L30"/>
    <x:mergeCell ref="M30:N30"/>
    <x:mergeCell ref="K32:N34"/>
    <x:mergeCell ref="B37:N37"/>
    <x:mergeCell ref="B38:N38"/>
  </x:mergeCells>
  <x:pageMargins left="0.7" right="0.7" top="0.75" bottom="0.75" header="0.3" footer="0.3"/>
  <x:drawing xmlns:r="http://schemas.openxmlformats.org/officeDocument/2006/relationships" r:id="Rc9a37c269ff64d0e"/>
</x:worksheet>
</file>